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рогресс этапов" sheetId="1" state="visible" r:id="rId3"/>
    <sheet name="Bug Tracker" sheetId="2" state="visible" r:id="rId4"/>
    <sheet name="Чек-лист Этап 1" sheetId="3" state="visible" r:id="rId5"/>
  </sheets>
  <definedNames>
    <definedName function="false" hidden="true" localSheetId="1" name="_xlnm._FilterDatabase" vbProcedure="false">'Bug Tracker'!$A$3:$L$8</definedName>
    <definedName function="false" hidden="true" localSheetId="2" name="_xlnm._FilterDatabase" vbProcedure="false">'Чек-лист Этап 1'!$A$4:$H$64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<sst xmlns="http://schemas.openxmlformats.org/spreadsheetml/2006/main" count="442" uniqueCount="286">
  <si>
    <t xml:space="preserve">TrustList — QA Roadmap</t>
  </si>
  <si>
    <t xml:space="preserve">Дата старта тестирования: 2026-04-30   |   Тестировщик: Stepan   |   Build: TBD</t>
  </si>
  <si>
    <t xml:space="preserve">Этап</t>
  </si>
  <si>
    <t xml:space="preserve">Название</t>
  </si>
  <si>
    <t xml:space="preserve">Скоуп</t>
  </si>
  <si>
    <t xml:space="preserve">Статус</t>
  </si>
  <si>
    <t xml:space="preserve">Старт</t>
  </si>
  <si>
    <t xml:space="preserve">Завершение</t>
  </si>
  <si>
    <t xml:space="preserve">Этап 1</t>
  </si>
  <si>
    <t xml:space="preserve">Smoke + Auth + Navigation</t>
  </si>
  <si>
    <t xml:space="preserve">Запуск, регистрация, логин, нав. между табами, role-based routing</t>
  </si>
  <si>
    <t xml:space="preserve">В работе</t>
  </si>
  <si>
    <t xml:space="preserve">2026-04-30</t>
  </si>
  <si>
    <t xml:space="preserve">Этап 2</t>
  </si>
  <si>
    <t xml:space="preserve">Feed Core</t>
  </si>
  <si>
    <t xml:space="preserve">Лента, Pack Pulse, Pack Call, Exclusive Deals, открытие деталей</t>
  </si>
  <si>
    <t xml:space="preserve">Pending</t>
  </si>
  <si>
    <t xml:space="preserve">Этап 3</t>
  </si>
  <si>
    <t xml:space="preserve">Создание контента</t>
  </si>
  <si>
    <t xml:space="preserve">AddScreen: пост, категории, рейтинг, локация, изображение</t>
  </si>
  <si>
    <t xml:space="preserve">Этап 4</t>
  </si>
  <si>
    <t xml:space="preserve">Социальная механика</t>
  </si>
  <si>
    <t xml:space="preserve">Follow/unfollow, фильтрация ленты по pack, public profile</t>
  </si>
  <si>
    <t xml:space="preserve">Этап 5</t>
  </si>
  <si>
    <t xml:space="preserve">Монетизация (B2B)</t>
  </si>
  <si>
    <t xml:space="preserve">CreateOffer, AcceptOffer, TrustCoins, sponsored posts</t>
  </si>
  <si>
    <t xml:space="preserve">Этап 6</t>
  </si>
  <si>
    <t xml:space="preserve">Edge cases + регресс</t>
  </si>
  <si>
    <t xml:space="preserve">Оффлайн, пустые состояния, ошибки сети, deep links</t>
  </si>
  <si>
    <t xml:space="preserve">Bug Tracker</t>
  </si>
  <si>
    <t xml:space="preserve">ID</t>
  </si>
  <si>
    <t xml:space="preserve">Дата</t>
  </si>
  <si>
    <t xml:space="preserve">Экран / Модуль</t>
  </si>
  <si>
    <t xml:space="preserve">Шаги воспроизведения</t>
  </si>
  <si>
    <t xml:space="preserve">Ожидание</t>
  </si>
  <si>
    <t xml:space="preserve">Факт</t>
  </si>
  <si>
    <t xml:space="preserve">Severity</t>
  </si>
  <si>
    <t xml:space="preserve">Priority</t>
  </si>
  <si>
    <t xml:space="preserve">Скриншот / Logcat</t>
  </si>
  <si>
    <t xml:space="preserve">Комментарий dev</t>
  </si>
  <si>
    <t xml:space="preserve">BUG-001</t>
  </si>
  <si>
    <t xml:space="preserve">AuthScreen / Firestore</t>
  </si>
  <si>
    <t xml:space="preserve">1. Sign up: ввести валидный email + password
2. Перед нажатием 'Create account' включить airplane mode (или отключить интернет ПОСЛЕ FirebaseAuth.create, но ДО Firestore.set — race-окно). Альтернатива: имитировать через дроссель сети в Android Studio.
3. Получить banner с ошибкой Firestore.
4. Включить интернет.
5. Повторно Sign up на тот же email.</t>
  </si>
  <si>
    <t xml:space="preserve">Юзер может повторно зарегистрироваться (либо профиль создаётся при первом Sign in — fallback через ensureUserProfileForAuthUser).</t>
  </si>
  <si>
    <t xml:space="preserve">FirebaseAuth-аккаунт создан, но Firestore-профиль — нет. auth.signOut() в showErrorAndSignOut() оставляет аккаунт в Auth. Повторный Sign up → 'email already in use'. Юзер залочен — Sign in невозможен (профиля нет, может крашнуть фид). Проверить, спасает ли ensureUserProfileForAuthUser при следующем Sign in.</t>
  </si>
  <si>
    <t xml:space="preserve">Critical</t>
  </si>
  <si>
    <t xml:space="preserve">P0</t>
  </si>
  <si>
    <t xml:space="preserve">Open</t>
  </si>
  <si>
    <t xml:space="preserve">—</t>
  </si>
  <si>
    <t xml:space="preserve">Решение: либо удалять FirebaseAuth-юзера при ошибке Firestore (firebaseUser.delete()), либо позволить повторный Sign in и создавать профиль через ensureUserProfileForAuthUser.</t>
  </si>
  <si>
    <t xml:space="preserve">BUG-002</t>
  </si>
  <si>
    <t xml:space="preserve">AuthScreen</t>
  </si>
  <si>
    <t xml:space="preserve">1. Открыть AuthScreen в режиме Sign in.
2. Тапнуть 'Forgot password?'.</t>
  </si>
  <si>
    <t xml:space="preserve">Открывается экран восстановления пароля либо отправляется email с reset-ссылкой через FirebaseAuth.sendPasswordResetEmail().</t>
  </si>
  <si>
    <t xml:space="preserve">Ничего не происходит. В коде onClick = { /* TODO: password reset */ } (AuthScreen.kt:304).</t>
  </si>
  <si>
    <t xml:space="preserve">Major</t>
  </si>
  <si>
    <t xml:space="preserve">P1</t>
  </si>
  <si>
    <t xml:space="preserve">AuthScreen.kt:294-306</t>
  </si>
  <si>
    <t xml:space="preserve">Реализовать через FirebaseAuth.sendPasswordResetEmail(email). Достаточно показать toast 'Reset email sent'.</t>
  </si>
  <si>
    <t xml:space="preserve">BUG-003</t>
  </si>
  <si>
    <t xml:space="preserve">AuthScreen / валидация</t>
  </si>
  <si>
    <t xml:space="preserve">1. Sign up или Sign in.
2. В поле email ввести только пробелы '   '.
3. В пароль — '123456'.
4. Нажать кнопку.</t>
  </si>
  <si>
    <t xml:space="preserve">Banner 'Fill in all fields' либо 'Invalid email format'.</t>
  </si>
  <si>
    <t xml:space="preserve">isBlank() проверяется на не-trim'нутой строке. Пробельный email пропускает первую валидацию, идёт в Firebase, который вернёт ERROR_INVALID_EMAIL. UX-сбой: ошибка непонятная.</t>
  </si>
  <si>
    <t xml:space="preserve">Minor</t>
  </si>
  <si>
    <t xml:space="preserve">P3</t>
  </si>
  <si>
    <t xml:space="preserve">AuthScreen.kt:83</t>
  </si>
  <si>
    <t xml:space="preserve">Заменить на email.trim().isBlank().</t>
  </si>
  <si>
    <t xml:space="preserve">BUG-004</t>
  </si>
  <si>
    <t xml:space="preserve">AuthScreen / handle</t>
  </si>
  <si>
    <t xml:space="preserve">1. Sign up как qa_user_1 с handle '@stepan'.
2. Logout.
3. Sign up как qa_user_2 с тем же handle '@stepan'.</t>
  </si>
  <si>
    <t xml:space="preserve">Валидация уникальности handle: 'This handle is taken'.</t>
  </si>
  <si>
    <t xml:space="preserve">Оба аккаунта успешно создаются с одинаковым handle. Нет проверки уникальности.</t>
  </si>
  <si>
    <t xml:space="preserve">P2</t>
  </si>
  <si>
    <t xml:space="preserve">Добавить запрос в Firestore: where('handle','==', input).limit(1) перед созданием профиля.</t>
  </si>
  <si>
    <t xml:space="preserve">BUG-005</t>
  </si>
  <si>
    <t xml:space="preserve">AuthScreen / UX</t>
  </si>
  <si>
    <t xml:space="preserve">1. Открыть Sign up.
2. Заполнить Full name = 'Stepan', Handle = '@stepan'.
3. Тапнуть 'Already have one? Sign in'.
4. Тапнуть обратно 'No account? Sign up'.</t>
  </si>
  <si>
    <t xml:space="preserve">Поля Full name и Handle очищены либо сохранены — консистентно.</t>
  </si>
  <si>
    <t xml:space="preserve">Поля сохранены в state (var name by remember), но скрыты AnimatedVisibility. Возврат показывает старые значения. Не критично, но запутывает при тестах.</t>
  </si>
  <si>
    <t xml:space="preserve">Trivial</t>
  </si>
  <si>
    <t xml:space="preserve">AuthScreen.kt:73-74</t>
  </si>
  <si>
    <t xml:space="preserve">При isLoginMode change — name = ''; handle = ''.</t>
  </si>
  <si>
    <t xml:space="preserve">Severity:</t>
  </si>
  <si>
    <t xml:space="preserve">Blocker = блокирует всё | Critical = критичный сценарий сломан | Major = важная функция работает с дефектом | Minor = мелкий UX-баг | Trivial = косметика</t>
  </si>
  <si>
    <t xml:space="preserve">Priority:</t>
  </si>
  <si>
    <t xml:space="preserve">P0 = чинить сейчас | P1 = в текущем спринте | P2 = в течение 2 недель | P3 = когда будет время</t>
  </si>
  <si>
    <t xml:space="preserve">Статус:</t>
  </si>
  <si>
    <t xml:space="preserve">Open → In Progress → Fixed → Verified → Closed   |   Won't Fix / Duplicate / Cannot Reproduce</t>
  </si>
  <si>
    <t xml:space="preserve">Этап 1 — Smoke + Auth + Navigation</t>
  </si>
  <si>
    <t xml:space="preserve">Среда: Эмулятор + Firebase production. Тест-аккаунты: qa_user_1, qa_user_2, qa_business_1 (isBusiness=true).</t>
  </si>
  <si>
    <t xml:space="preserve">Раздел</t>
  </si>
  <si>
    <t xml:space="preserve">Шаг</t>
  </si>
  <si>
    <t xml:space="preserve">Bug ID</t>
  </si>
  <si>
    <t xml:space="preserve">Комментарий</t>
  </si>
  <si>
    <t xml:space="preserve">A1</t>
  </si>
  <si>
    <t xml:space="preserve">Smoke</t>
  </si>
  <si>
    <t xml:space="preserve">Свежеустановленное APK, запуск без сессии</t>
  </si>
  <si>
    <t xml:space="preserve">Открывается AuthScreen, режим Sign in, белая карточка с 🐺</t>
  </si>
  <si>
    <t xml:space="preserve">Blocker</t>
  </si>
  <si>
    <t xml:space="preserve">A2</t>
  </si>
  <si>
    <t xml:space="preserve">Запуск с активной сессией</t>
  </si>
  <si>
    <t xml:space="preserve">Сразу MainAppScreen на табе Feed</t>
  </si>
  <si>
    <t xml:space="preserve">A3</t>
  </si>
  <si>
    <t xml:space="preserve">Свернуть приложение → развернуть через 30с</t>
  </si>
  <si>
    <t xml:space="preserve">Состояние таба и скролла сохраняется</t>
  </si>
  <si>
    <t xml:space="preserve">A4</t>
  </si>
  <si>
    <t xml:space="preserve">Поворот экрана на любом экране</t>
  </si>
  <si>
    <t xml:space="preserve">Нет краша, форма не сбрасывается</t>
  </si>
  <si>
    <t xml:space="preserve">A5</t>
  </si>
  <si>
    <t xml:space="preserve">Старт в режиме самолёта (offline)</t>
  </si>
  <si>
    <t xml:space="preserve">Открывается, показывает empty/loading, не виснет</t>
  </si>
  <si>
    <t xml:space="preserve">A6</t>
  </si>
  <si>
    <t xml:space="preserve">Шрифты Syne (заголовки) и DM Sans (body)</t>
  </si>
  <si>
    <t xml:space="preserve">Применены корректно</t>
  </si>
  <si>
    <t xml:space="preserve">A7</t>
  </si>
  <si>
    <t xml:space="preserve">Цвета Artisan Pastel: фон #F8F7F4, акцент Violet→Teal</t>
  </si>
  <si>
    <t xml:space="preserve">Соответствует дизайн-системе</t>
  </si>
  <si>
    <t xml:space="preserve">A8</t>
  </si>
  <si>
    <t xml:space="preserve">Logcat при старте — нет ERROR/FATAL по тегам TrustListApp/Firestore</t>
  </si>
  <si>
    <t xml:space="preserve">Нет критических логов</t>
  </si>
  <si>
    <t xml:space="preserve">A9</t>
  </si>
  <si>
    <t xml:space="preserve">Время от тапа иконки до интерактивного экрана</t>
  </si>
  <si>
    <t xml:space="preserve">&lt; 3 сек на эмуляторе</t>
  </si>
  <si>
    <t xml:space="preserve">A10</t>
  </si>
  <si>
    <t xml:space="preserve">Лог 'ensureUserProfile completed for uid=...'</t>
  </si>
  <si>
    <t xml:space="preserve">Присутствует в logcat при наличии сессии</t>
  </si>
  <si>
    <t xml:space="preserve">B1</t>
  </si>
  <si>
    <t xml:space="preserve">Sign up</t>
  </si>
  <si>
    <t xml:space="preserve">Тап 'No account? Sign up'</t>
  </si>
  <si>
    <t xml:space="preserve">Появляются Full name, Handle; 'Forgot password' исчезает</t>
  </si>
  <si>
    <t xml:space="preserve">B2</t>
  </si>
  <si>
    <t xml:space="preserve">Sign up с пустыми email/password</t>
  </si>
  <si>
    <t xml:space="preserve">Banner 'Fill in all fields'</t>
  </si>
  <si>
    <t xml:space="preserve">B3</t>
  </si>
  <si>
    <t xml:space="preserve">Sign up с email = '   ' (пробелы)</t>
  </si>
  <si>
    <t xml:space="preserve">Banner с осмысленной ошибкой</t>
  </si>
  <si>
    <t xml:space="preserve">Предварительно найдено в pre-flight аудите кода</t>
  </si>
  <si>
    <t xml:space="preserve">B4</t>
  </si>
  <si>
    <t xml:space="preserve">Email = 'abc', password = '123456'</t>
  </si>
  <si>
    <t xml:space="preserve">'Invalid email format'</t>
  </si>
  <si>
    <t xml:space="preserve">B5</t>
  </si>
  <si>
    <t xml:space="preserve">Email валидный, password = '12345'</t>
  </si>
  <si>
    <t xml:space="preserve">'Password too weak. Use at least 6 characters'</t>
  </si>
  <si>
    <t xml:space="preserve">B6</t>
  </si>
  <si>
    <t xml:space="preserve">Email уже существует</t>
  </si>
  <si>
    <t xml:space="preserve">'This email is already registered. Sign in instead'</t>
  </si>
  <si>
    <t xml:space="preserve">B7</t>
  </si>
  <si>
    <t xml:space="preserve">Все валидно → Submit</t>
  </si>
  <si>
    <t xml:space="preserve">Спиннер → MainAppScreen</t>
  </si>
  <si>
    <t xml:space="preserve">B8</t>
  </si>
  <si>
    <t xml:space="preserve">Проверить Firestore: artifacts/trustlist-production/public/data/users/{uid}</t>
  </si>
  <si>
    <t xml:space="preserve">Документ создан с email, name, handle, trustCoins</t>
  </si>
  <si>
    <t xml:space="preserve">B9</t>
  </si>
  <si>
    <t xml:space="preserve">Sign up без Full name (пусто)</t>
  </si>
  <si>
    <t xml:space="preserve">name = email substring до @ с capitalize</t>
  </si>
  <si>
    <t xml:space="preserve">B10</t>
  </si>
  <si>
    <t xml:space="preserve">Sign up с handle, который уже у другого юзера</t>
  </si>
  <si>
    <t xml:space="preserve">Валидация уникальности 'This handle is taken'</t>
  </si>
  <si>
    <t xml:space="preserve">B11</t>
  </si>
  <si>
    <t xml:space="preserve">Длинный name (&gt;50) и handle (&gt;30)</t>
  </si>
  <si>
    <t xml:space="preserve">UI не ломается, либо валидация</t>
  </si>
  <si>
    <t xml:space="preserve">B12</t>
  </si>
  <si>
    <t xml:space="preserve">Кириллица/эмодзи в handle</t>
  </si>
  <si>
    <t xml:space="preserve">Принимается консистентно либо валидируется</t>
  </si>
  <si>
    <t xml:space="preserve">B13</t>
  </si>
  <si>
    <t xml:space="preserve">Edge: успех в Auth, падение Firestore.set (отключи интернет)</t>
  </si>
  <si>
    <t xml:space="preserve">Юзер не залочен — может повторить регистрацию или Sign in</t>
  </si>
  <si>
    <t xml:space="preserve">B14</t>
  </si>
  <si>
    <t xml:space="preserve">Toggle Sign up → Sign in после ввода name/handle</t>
  </si>
  <si>
    <t xml:space="preserve">Поля очищаются</t>
  </si>
  <si>
    <t xml:space="preserve">B15</t>
  </si>
  <si>
    <t xml:space="preserve">Двойной тап по 'Create account'</t>
  </si>
  <si>
    <t xml:space="preserve">Нет двойного запроса (кнопка disabled)</t>
  </si>
  <si>
    <t xml:space="preserve">C1</t>
  </si>
  <si>
    <t xml:space="preserve">Sign in</t>
  </si>
  <si>
    <t xml:space="preserve">Email + password корректны</t>
  </si>
  <si>
    <t xml:space="preserve">C2</t>
  </si>
  <si>
    <t xml:space="preserve">Email верный, пароль неверный</t>
  </si>
  <si>
    <t xml:space="preserve">'Wrong password. Check spelling and Caps Lock'</t>
  </si>
  <si>
    <t xml:space="preserve">C3</t>
  </si>
  <si>
    <t xml:space="preserve">Email несуществующий</t>
  </si>
  <si>
    <t xml:space="preserve">'No account for this email. Sign up first'</t>
  </si>
  <si>
    <t xml:space="preserve">C4</t>
  </si>
  <si>
    <t xml:space="preserve">Email = 'notanemail'</t>
  </si>
  <si>
    <t xml:space="preserve">C5</t>
  </si>
  <si>
    <t xml:space="preserve">6+ подряд неверных попыток</t>
  </si>
  <si>
    <t xml:space="preserve">'Too many attempts. Try again later'</t>
  </si>
  <si>
    <t xml:space="preserve">C6</t>
  </si>
  <si>
    <t xml:space="preserve">Иконка глаза в поле пароля</t>
  </si>
  <si>
    <t xml:space="preserve">Toggle скрытый/видимый пароль</t>
  </si>
  <si>
    <t xml:space="preserve">C7</t>
  </si>
  <si>
    <t xml:space="preserve">Тап 'Forgot password?'</t>
  </si>
  <si>
    <t xml:space="preserve">Reset email отправлен или открыт reset-flow</t>
  </si>
  <si>
    <t xml:space="preserve">C8</t>
  </si>
  <si>
    <t xml:space="preserve">После logout сразу логин под другим аккаунтом</t>
  </si>
  <si>
    <t xml:space="preserve">Профиль и trustCoins подтягиваются нового юзера</t>
  </si>
  <si>
    <t xml:space="preserve">C9</t>
  </si>
  <si>
    <t xml:space="preserve">Kill task → запуск</t>
  </si>
  <si>
    <t xml:space="preserve">Сессия сохранена, MainAppScreen</t>
  </si>
  <si>
    <t xml:space="preserve">C10</t>
  </si>
  <si>
    <t xml:space="preserve">Loading state на кнопке Sign in</t>
  </si>
  <si>
    <t xml:space="preserve">Градиент alpha=0.5, спиннер 24dp белый</t>
  </si>
  <si>
    <t xml:space="preserve">D1</t>
  </si>
  <si>
    <t xml:space="preserve">Nav</t>
  </si>
  <si>
    <t xml:space="preserve">Тап Home</t>
  </si>
  <si>
    <t xml:space="preserve">FeedScreen, иконка подсвечена градиентом</t>
  </si>
  <si>
    <t xml:space="preserve">D2</t>
  </si>
  <si>
    <t xml:space="preserve">Тап Search</t>
  </si>
  <si>
    <t xml:space="preserve">ExploreScreen, иконка подсвечена</t>
  </si>
  <si>
    <t xml:space="preserve">D3</t>
  </si>
  <si>
    <t xml:space="preserve">Тап '+'</t>
  </si>
  <si>
    <t xml:space="preserve">isBusiness=false → AddScreen; isBusiness=true → AddHubScreen</t>
  </si>
  <si>
    <t xml:space="preserve">D4</t>
  </si>
  <si>
    <t xml:space="preserve">Тап Profile</t>
  </si>
  <si>
    <t xml:space="preserve">ProfileScreen своего юзера</t>
  </si>
  <si>
    <t xml:space="preserve">D5</t>
  </si>
  <si>
    <t xml:space="preserve">Двойной тап по активному табу</t>
  </si>
  <si>
    <t xml:space="preserve">Нет дублирования стека</t>
  </si>
  <si>
    <t xml:space="preserve">D6</t>
  </si>
  <si>
    <t xml:space="preserve">Открыть пост из Feed</t>
  </si>
  <si>
    <t xml:space="preserve">PostDetailScreen с TrustScoreRing, фото, заголовком</t>
  </si>
  <si>
    <t xml:space="preserve">D7</t>
  </si>
  <si>
    <t xml:space="preserve">Back из PostDetail</t>
  </si>
  <si>
    <t xml:space="preserve">Возврат в Feed на ту же позицию</t>
  </si>
  <si>
    <t xml:space="preserve">D8</t>
  </si>
  <si>
    <t xml:space="preserve">Открыть Pack Call из Feed</t>
  </si>
  <si>
    <t xml:space="preserve">RequestDetailScreen с описанием и формой ответа</t>
  </si>
  <si>
    <t xml:space="preserve">D9</t>
  </si>
  <si>
    <t xml:space="preserve">Тап по аватарке автора поста</t>
  </si>
  <si>
    <t xml:space="preserve">PublicUserProfileScreen с постами автора</t>
  </si>
  <si>
    <t xml:space="preserve">D10</t>
  </si>
  <si>
    <t xml:space="preserve">Открыть коллекцию из ProfileScreen</t>
  </si>
  <si>
    <t xml:space="preserve">CollectionDetailScreen</t>
  </si>
  <si>
    <t xml:space="preserve">D11</t>
  </si>
  <si>
    <t xml:space="preserve">В AddScreen ввести данные → переключить таб</t>
  </si>
  <si>
    <t xml:space="preserve">Диалог 'Leave this screen? Your progress will be lost'</t>
  </si>
  <si>
    <t xml:space="preserve">D12</t>
  </si>
  <si>
    <t xml:space="preserve">В диалоге 'Stay'</t>
  </si>
  <si>
    <t xml:space="preserve">Остаёмся в Add, данные не потеряны</t>
  </si>
  <si>
    <t xml:space="preserve">D13</t>
  </si>
  <si>
    <t xml:space="preserve">В диалоге 'Leave'</t>
  </si>
  <si>
    <t xml:space="preserve">Переходим на target таб, форма очищается</t>
  </si>
  <si>
    <t xml:space="preserve">D14</t>
  </si>
  <si>
    <t xml:space="preserve">На AddHubScreen (выбор) → переключить таб</t>
  </si>
  <si>
    <t xml:space="preserve">Без диалога, переключение мгновенное</t>
  </si>
  <si>
    <t xml:space="preserve">D15</t>
  </si>
  <si>
    <t xml:space="preserve">Системная Back из Feed</t>
  </si>
  <si>
    <t xml:space="preserve">Сворачивает приложение</t>
  </si>
  <si>
    <t xml:space="preserve">D16</t>
  </si>
  <si>
    <t xml:space="preserve">Активная иконка в bottom nav</t>
  </si>
  <si>
    <t xml:space="preserve">Tint Teal, indicator Lime alpha 15%</t>
  </si>
  <si>
    <t xml:space="preserve">E1</t>
  </si>
  <si>
    <t xml:space="preserve">Logout</t>
  </si>
  <si>
    <t xml:space="preserve">Logout из ProfileScreen</t>
  </si>
  <si>
    <t xml:space="preserve">Activity recreate → AuthScreen</t>
  </si>
  <si>
    <t xml:space="preserve">E2</t>
  </si>
  <si>
    <t xml:space="preserve">После Logout свернуть/развернуть</t>
  </si>
  <si>
    <t xml:space="preserve">Открывается AuthScreen, не предыдущий Feed</t>
  </si>
  <si>
    <t xml:space="preserve">E3</t>
  </si>
  <si>
    <t xml:space="preserve">Logout → нет утечек listener'ов в Firestore</t>
  </si>
  <si>
    <t xml:space="preserve">Logcat без PERMISSION_DENIED</t>
  </si>
  <si>
    <t xml:space="preserve">E4</t>
  </si>
  <si>
    <t xml:space="preserve">Logout → повторный Sign up на тот же email</t>
  </si>
  <si>
    <t xml:space="preserve">'email already in use'</t>
  </si>
  <si>
    <t xml:space="preserve">F1</t>
  </si>
  <si>
    <t xml:space="preserve">Role</t>
  </si>
  <si>
    <t xml:space="preserve">Login qa_user_1 (isBusiness=false) → таб '+'</t>
  </si>
  <si>
    <t xml:space="preserve">AddScreen напрямую</t>
  </si>
  <si>
    <t xml:space="preserve">F2</t>
  </si>
  <si>
    <t xml:space="preserve">Login qa_business_1 (isBusiness=true) → таб '+'</t>
  </si>
  <si>
    <t xml:space="preserve">AddHubScreen с выбором Post/Campaign</t>
  </si>
  <si>
    <t xml:space="preserve">F3</t>
  </si>
  <si>
    <t xml:space="preserve">Из AddHubScreen → Campaign</t>
  </si>
  <si>
    <t xml:space="preserve">CreateOfferScreen</t>
  </si>
  <si>
    <t xml:space="preserve">F4</t>
  </si>
  <si>
    <t xml:space="preserve">Из AddHubScreen → Post</t>
  </si>
  <si>
    <t xml:space="preserve">AddScreen в business-режиме</t>
  </si>
  <si>
    <t xml:space="preserve">F5</t>
  </si>
  <si>
    <t xml:space="preserve">Кнопка 'Switch to consumer' (footnote)</t>
  </si>
  <si>
    <t xml:space="preserve">Открывается SwitchToBusinessSheet</t>
  </si>
  <si>
    <t xml:space="preserve">ИТОГО:</t>
  </si>
  <si>
    <t xml:space="preserve">Всего кейсов: 60</t>
  </si>
  <si>
    <t xml:space="preserve">PASS:</t>
  </si>
  <si>
    <t xml:space="preserve">FAIL:</t>
  </si>
  <si>
    <t xml:space="preserve">BLOCKED: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</si>
</sst>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2A24"/>
      <name val="Arial"/>
      <family val="0"/>
      <charset val="1"/>
    </font>
    <font>
      <i val="true"/>
      <sz val="10"/>
      <color rgb="FF8A9A9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76808"/>
      <name val="Arial"/>
      <family val="0"/>
      <charset val="1"/>
    </font>
    <font>
      <sz val="10"/>
      <color rgb="FF8A9A95"/>
      <name val="Arial"/>
      <family val="0"/>
      <charset val="1"/>
    </font>
    <font>
      <b val="true"/>
      <sz val="10"/>
      <color rgb="FFE5484D"/>
      <name val="Arial"/>
      <family val="0"/>
      <charset val="1"/>
    </font>
    <font>
      <b val="true"/>
      <sz val="10"/>
      <color rgb="FF8A6D3B"/>
      <name val="Arial"/>
      <family val="0"/>
      <charset val="1"/>
    </font>
    <font>
      <b val="true"/>
      <sz val="10"/>
      <color rgb="FF8A9A95"/>
      <name val="Arial"/>
      <family val="0"/>
      <charset val="1"/>
    </font>
    <font>
      <b val="true"/>
      <sz val="10"/>
      <color rgb="FF1A2A24"/>
      <name val="Arial"/>
      <family val="0"/>
      <charset val="1"/>
    </font>
    <font>
      <i val="true"/>
      <sz val="9"/>
      <color rgb="FF8A9A95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b val="true"/>
      <sz val="11"/>
      <color rgb="FF1A2A24"/>
      <name val="Arial"/>
      <family val="0"/>
      <charset val="1"/>
    </font>
    <font>
      <sz val="10"/>
      <color rgb="FF1A2A24"/>
      <name val="Arial"/>
      <family val="0"/>
      <charset val="1"/>
    </font>
    <font>
      <b val="true"/>
      <sz val="10"/>
      <color rgb="FF30A46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7C6FE0"/>
        <bgColor rgb="FF808080"/>
      </patternFill>
    </fill>
    <fill>
      <patternFill patternType="solid">
        <fgColor rgb="FFFFF3D6"/>
        <bgColor rgb="FFFAF9F6"/>
      </patternFill>
    </fill>
    <fill>
      <patternFill patternType="solid">
        <fgColor rgb="FF3BD4C0"/>
        <bgColor rgb="FF00CCFF"/>
      </patternFill>
    </fill>
    <fill>
      <patternFill patternType="solid">
        <fgColor rgb="FFFAF9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D3CE"/>
      </left>
      <right style="thin">
        <color rgb="FFD6D3CE"/>
      </right>
      <top style="thin">
        <color rgb="FFD6D3CE"/>
      </top>
      <bottom style="thin">
        <color rgb="FFD6D3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7C6FE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A6D3B"/>
          <bgColor rgb="FF000000"/>
        </patternFill>
      </fill>
    </dxf>
    <dxf>
      <fill>
        <patternFill patternType="solid">
          <fgColor rgb="FF8A9A95"/>
          <bgColor rgb="FF000000"/>
        </patternFill>
      </fill>
    </dxf>
    <dxf>
      <fill>
        <patternFill patternType="solid">
          <fgColor rgb="FFE5484D"/>
          <bgColor rgb="FF000000"/>
        </patternFill>
      </fill>
    </dxf>
    <dxf>
      <fill>
        <patternFill patternType="solid">
          <fgColor rgb="FFF76808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BD4C0"/>
          <bgColor rgb="FF000000"/>
        </patternFill>
      </fill>
    </dxf>
    <dxf>
      <fill>
        <patternFill patternType="solid">
          <fgColor rgb="FFFAF9F6"/>
          <bgColor rgb="FF000000"/>
        </patternFill>
      </fill>
    </dxf>
    <dxf>
      <fill>
        <patternFill patternType="solid">
          <fgColor rgb="FFB7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3B"/>
      <rgbColor rgb="FF800080"/>
      <rgbColor rgb="FF008080"/>
      <rgbColor rgb="FFC0C0C0"/>
      <rgbColor rgb="FF808080"/>
      <rgbColor rgb="FF9999FF"/>
      <rgbColor rgb="FFE5484D"/>
      <rgbColor rgb="FFFFF3D6"/>
      <rgbColor rgb="FFFAF9F6"/>
      <rgbColor rgb="FF660066"/>
      <rgbColor rgb="FFFF8080"/>
      <rgbColor rgb="FF0066CC"/>
      <rgbColor rgb="FFD6D3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BD4C0"/>
      <rgbColor rgb="FF99CC00"/>
      <rgbColor rgb="FFFFCC00"/>
      <rgbColor rgb="FFFF9900"/>
      <rgbColor rgb="FFF76808"/>
      <rgbColor rgb="FF7C6FE0"/>
      <rgbColor rgb="FF8A9A95"/>
      <rgbColor rgb="FF003366"/>
      <rgbColor rgb="FF30A46C"/>
      <rgbColor rgb="FF003300"/>
      <rgbColor rgb="FF333300"/>
      <rgbColor rgb="FFB71C1C"/>
      <rgbColor rgb="FF993366"/>
      <rgbColor rgb="FF333399"/>
      <rgbColor rgb="FF1A2A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60"/>
    <col collapsed="false" customWidth="true" hidden="false" outlineLevel="0" max="6" min="4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6" hidden="false" customHeight="true" outlineLevel="0" collapsed="false">
      <c r="A5" s="4" t="s">
        <v>8</v>
      </c>
      <c r="B5" s="5" t="s">
        <v>9</v>
      </c>
      <c r="C5" s="5" t="s">
        <v>10</v>
      </c>
      <c r="D5" s="6" t="s">
        <v>11</v>
      </c>
      <c r="E5" s="4" t="s">
        <v>12</v>
      </c>
      <c r="F5" s="4"/>
    </row>
    <row r="6" customFormat="false" ht="36" hidden="false" customHeight="true" outlineLevel="0" collapsed="false">
      <c r="A6" s="4" t="s">
        <v>13</v>
      </c>
      <c r="B6" s="5" t="s">
        <v>14</v>
      </c>
      <c r="C6" s="5" t="s">
        <v>15</v>
      </c>
      <c r="D6" s="7" t="s">
        <v>16</v>
      </c>
      <c r="E6" s="4"/>
      <c r="F6" s="4"/>
    </row>
    <row r="7" customFormat="false" ht="36" hidden="false" customHeight="true" outlineLevel="0" collapsed="false">
      <c r="A7" s="4" t="s">
        <v>17</v>
      </c>
      <c r="B7" s="5" t="s">
        <v>18</v>
      </c>
      <c r="C7" s="5" t="s">
        <v>19</v>
      </c>
      <c r="D7" s="7" t="s">
        <v>16</v>
      </c>
      <c r="E7" s="4"/>
      <c r="F7" s="4"/>
    </row>
    <row r="8" customFormat="false" ht="36" hidden="false" customHeight="true" outlineLevel="0" collapsed="false">
      <c r="A8" s="4" t="s">
        <v>20</v>
      </c>
      <c r="B8" s="5" t="s">
        <v>21</v>
      </c>
      <c r="C8" s="5" t="s">
        <v>22</v>
      </c>
      <c r="D8" s="7" t="s">
        <v>16</v>
      </c>
      <c r="E8" s="4"/>
      <c r="F8" s="4"/>
    </row>
    <row r="9" customFormat="false" ht="36" hidden="false" customHeight="true" outlineLevel="0" collapsed="false">
      <c r="A9" s="4" t="s">
        <v>23</v>
      </c>
      <c r="B9" s="5" t="s">
        <v>24</v>
      </c>
      <c r="C9" s="5" t="s">
        <v>25</v>
      </c>
      <c r="D9" s="7" t="s">
        <v>16</v>
      </c>
      <c r="E9" s="4"/>
      <c r="F9" s="4"/>
    </row>
    <row r="10" customFormat="false" ht="36" hidden="false" customHeight="true" outlineLevel="0" collapsed="false">
      <c r="A10" s="4" t="s">
        <v>26</v>
      </c>
      <c r="B10" s="5" t="s">
        <v>27</v>
      </c>
      <c r="C10" s="5" t="s">
        <v>28</v>
      </c>
      <c r="D10" s="7" t="s">
        <v>16</v>
      </c>
      <c r="E10" s="4"/>
      <c r="F10" s="4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50"/>
    <col collapsed="false" customWidth="true" hidden="false" outlineLevel="0" max="7" min="6" style="0" width="35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24"/>
    <col collapsed="false" customWidth="true" hidden="false" outlineLevel="0" max="12" min="12" style="0" width="30"/>
  </cols>
  <sheetData>
    <row r="1" customFormat="false" ht="27.75" hidden="false" customHeight="true" outlineLevel="0" collapsed="false">
      <c r="A1" s="8" t="s">
        <v>29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3" customFormat="false" ht="36" hidden="false" customHeight="true" outlineLevel="0" collapsed="false">
      <c r="A3" s="3" t="s">
        <v>30</v>
      </c>
      <c r="B3" s="3" t="s">
        <v>31</v>
      </c>
      <c r="C3" s="3" t="s">
        <v>2</v>
      </c>
      <c r="D3" s="3" t="s">
        <v>32</v>
      </c>
      <c r="E3" s="3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5</v>
      </c>
      <c r="K3" s="3" t="s">
        <v>38</v>
      </c>
      <c r="L3" s="3" t="s">
        <v>39</v>
      </c>
    </row>
    <row r="4" customFormat="false" ht="109.5" hidden="false" customHeight="true" outlineLevel="0" collapsed="false">
      <c r="A4" s="4" t="s">
        <v>40</v>
      </c>
      <c r="B4" s="4" t="s">
        <v>12</v>
      </c>
      <c r="C4" s="4" t="s">
        <v>8</v>
      </c>
      <c r="D4" s="5" t="s">
        <v>41</v>
      </c>
      <c r="E4" s="5" t="s">
        <v>42</v>
      </c>
      <c r="F4" s="5" t="s">
        <v>43</v>
      </c>
      <c r="G4" s="5" t="s">
        <v>44</v>
      </c>
      <c r="H4" s="9" t="s">
        <v>45</v>
      </c>
      <c r="I4" s="4" t="s">
        <v>46</v>
      </c>
      <c r="J4" s="10" t="s">
        <v>47</v>
      </c>
      <c r="K4" s="5" t="s">
        <v>48</v>
      </c>
      <c r="L4" s="5" t="s">
        <v>49</v>
      </c>
    </row>
    <row r="5" customFormat="false" ht="109.5" hidden="false" customHeight="true" outlineLevel="0" collapsed="false">
      <c r="A5" s="4" t="s">
        <v>50</v>
      </c>
      <c r="B5" s="4" t="s">
        <v>12</v>
      </c>
      <c r="C5" s="4" t="s">
        <v>8</v>
      </c>
      <c r="D5" s="5" t="s">
        <v>51</v>
      </c>
      <c r="E5" s="5" t="s">
        <v>52</v>
      </c>
      <c r="F5" s="5" t="s">
        <v>53</v>
      </c>
      <c r="G5" s="5" t="s">
        <v>54</v>
      </c>
      <c r="H5" s="11" t="s">
        <v>55</v>
      </c>
      <c r="I5" s="4" t="s">
        <v>56</v>
      </c>
      <c r="J5" s="10" t="s">
        <v>47</v>
      </c>
      <c r="K5" s="5" t="s">
        <v>57</v>
      </c>
      <c r="L5" s="5" t="s">
        <v>58</v>
      </c>
    </row>
    <row r="6" customFormat="false" ht="109.5" hidden="false" customHeight="true" outlineLevel="0" collapsed="false">
      <c r="A6" s="4" t="s">
        <v>59</v>
      </c>
      <c r="B6" s="4" t="s">
        <v>12</v>
      </c>
      <c r="C6" s="4" t="s">
        <v>8</v>
      </c>
      <c r="D6" s="5" t="s">
        <v>60</v>
      </c>
      <c r="E6" s="5" t="s">
        <v>61</v>
      </c>
      <c r="F6" s="5" t="s">
        <v>62</v>
      </c>
      <c r="G6" s="5" t="s">
        <v>63</v>
      </c>
      <c r="H6" s="12" t="s">
        <v>64</v>
      </c>
      <c r="I6" s="4" t="s">
        <v>65</v>
      </c>
      <c r="J6" s="10" t="s">
        <v>47</v>
      </c>
      <c r="K6" s="5" t="s">
        <v>66</v>
      </c>
      <c r="L6" s="5" t="s">
        <v>67</v>
      </c>
    </row>
    <row r="7" customFormat="false" ht="109.5" hidden="false" customHeight="true" outlineLevel="0" collapsed="false">
      <c r="A7" s="4" t="s">
        <v>68</v>
      </c>
      <c r="B7" s="4" t="s">
        <v>12</v>
      </c>
      <c r="C7" s="4" t="s">
        <v>8</v>
      </c>
      <c r="D7" s="5" t="s">
        <v>69</v>
      </c>
      <c r="E7" s="5" t="s">
        <v>70</v>
      </c>
      <c r="F7" s="5" t="s">
        <v>71</v>
      </c>
      <c r="G7" s="5" t="s">
        <v>72</v>
      </c>
      <c r="H7" s="11" t="s">
        <v>55</v>
      </c>
      <c r="I7" s="4" t="s">
        <v>73</v>
      </c>
      <c r="J7" s="10" t="s">
        <v>47</v>
      </c>
      <c r="K7" s="5" t="s">
        <v>48</v>
      </c>
      <c r="L7" s="5" t="s">
        <v>74</v>
      </c>
    </row>
    <row r="8" customFormat="false" ht="109.5" hidden="false" customHeight="true" outlineLevel="0" collapsed="false">
      <c r="A8" s="4" t="s">
        <v>75</v>
      </c>
      <c r="B8" s="4" t="s">
        <v>12</v>
      </c>
      <c r="C8" s="4" t="s">
        <v>8</v>
      </c>
      <c r="D8" s="5" t="s">
        <v>76</v>
      </c>
      <c r="E8" s="5" t="s">
        <v>77</v>
      </c>
      <c r="F8" s="5" t="s">
        <v>78</v>
      </c>
      <c r="G8" s="5" t="s">
        <v>79</v>
      </c>
      <c r="H8" s="13" t="s">
        <v>80</v>
      </c>
      <c r="I8" s="4" t="s">
        <v>65</v>
      </c>
      <c r="J8" s="10" t="s">
        <v>47</v>
      </c>
      <c r="K8" s="5" t="s">
        <v>81</v>
      </c>
      <c r="L8" s="5" t="s">
        <v>82</v>
      </c>
    </row>
    <row r="11" customFormat="false" ht="15" hidden="false" customHeight="false" outlineLevel="0" collapsed="false">
      <c r="A11" s="14" t="s">
        <v>83</v>
      </c>
      <c r="B11" s="15" t="s">
        <v>84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</row>
    <row r="12" customFormat="false" ht="15" hidden="false" customHeight="false" outlineLevel="0" collapsed="false">
      <c r="A12" s="14" t="s">
        <v>85</v>
      </c>
      <c r="B12" s="15" t="s">
        <v>86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customFormat="false" ht="15" hidden="false" customHeight="false" outlineLevel="0" collapsed="false">
      <c r="A13" s="14" t="s">
        <v>87</v>
      </c>
      <c r="B13" s="15" t="s">
        <v>88</v>
      </c>
      <c r="C13" s="15"/>
      <c r="D13" s="15"/>
      <c r="E13" s="15"/>
      <c r="F13" s="15"/>
      <c r="G13" s="15"/>
      <c r="H13" s="15"/>
      <c r="I13" s="15"/>
      <c r="J13" s="15"/>
      <c r="K13" s="15"/>
      <c r="L13" s="15"/>
    </row>
  </sheetData>
  <autoFilter ref="A3:L8"/>
  <mergeCells count="4">
    <mergeCell ref="A1:L1"/>
    <mergeCell ref="B11:L11"/>
    <mergeCell ref="B12:L12"/>
    <mergeCell ref="B13:L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50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28"/>
  </cols>
  <sheetData>
    <row r="1" customFormat="false" ht="27.75" hidden="false" customHeight="true" outlineLevel="0" collapsed="false">
      <c r="A1" s="8" t="s">
        <v>89</v>
      </c>
      <c r="B1" s="8"/>
      <c r="C1" s="8"/>
      <c r="D1" s="8"/>
      <c r="E1" s="8"/>
      <c r="F1" s="8"/>
      <c r="G1" s="8"/>
      <c r="H1" s="8"/>
    </row>
    <row r="2" customFormat="false" ht="15" hidden="false" customHeight="false" outlineLevel="0" collapsed="false">
      <c r="A2" s="2" t="s">
        <v>90</v>
      </c>
      <c r="B2" s="2"/>
      <c r="C2" s="2"/>
      <c r="D2" s="2"/>
      <c r="E2" s="2"/>
      <c r="F2" s="2"/>
      <c r="G2" s="2"/>
      <c r="H2" s="2"/>
    </row>
    <row r="4" customFormat="false" ht="31.5" hidden="false" customHeight="true" outlineLevel="0" collapsed="false">
      <c r="A4" s="16" t="s">
        <v>30</v>
      </c>
      <c r="B4" s="16" t="s">
        <v>91</v>
      </c>
      <c r="C4" s="16" t="s">
        <v>92</v>
      </c>
      <c r="D4" s="16" t="s">
        <v>34</v>
      </c>
      <c r="E4" s="16" t="s">
        <v>36</v>
      </c>
      <c r="F4" s="16" t="s">
        <v>5</v>
      </c>
      <c r="G4" s="16" t="s">
        <v>93</v>
      </c>
      <c r="H4" s="16" t="s">
        <v>94</v>
      </c>
    </row>
    <row r="5" customFormat="false" ht="36" hidden="false" customHeight="true" outlineLevel="0" collapsed="false">
      <c r="A5" s="4" t="s">
        <v>95</v>
      </c>
      <c r="B5" s="4" t="s">
        <v>96</v>
      </c>
      <c r="C5" s="5" t="s">
        <v>97</v>
      </c>
      <c r="D5" s="5" t="s">
        <v>98</v>
      </c>
      <c r="E5" s="17" t="s">
        <v>99</v>
      </c>
      <c r="F5" s="4"/>
      <c r="G5" s="4"/>
      <c r="H5" s="5"/>
    </row>
    <row r="6" customFormat="false" ht="36" hidden="false" customHeight="true" outlineLevel="0" collapsed="false">
      <c r="A6" s="18" t="s">
        <v>100</v>
      </c>
      <c r="B6" s="18" t="s">
        <v>96</v>
      </c>
      <c r="C6" s="19" t="s">
        <v>101</v>
      </c>
      <c r="D6" s="19" t="s">
        <v>102</v>
      </c>
      <c r="E6" s="20" t="s">
        <v>99</v>
      </c>
      <c r="F6" s="18"/>
      <c r="G6" s="18"/>
      <c r="H6" s="19"/>
    </row>
    <row r="7" customFormat="false" ht="36" hidden="false" customHeight="true" outlineLevel="0" collapsed="false">
      <c r="A7" s="4" t="s">
        <v>103</v>
      </c>
      <c r="B7" s="4" t="s">
        <v>96</v>
      </c>
      <c r="C7" s="5" t="s">
        <v>104</v>
      </c>
      <c r="D7" s="5" t="s">
        <v>105</v>
      </c>
      <c r="E7" s="11" t="s">
        <v>55</v>
      </c>
      <c r="F7" s="4"/>
      <c r="G7" s="4"/>
      <c r="H7" s="5"/>
    </row>
    <row r="8" customFormat="false" ht="36" hidden="false" customHeight="true" outlineLevel="0" collapsed="false">
      <c r="A8" s="18" t="s">
        <v>106</v>
      </c>
      <c r="B8" s="18" t="s">
        <v>96</v>
      </c>
      <c r="C8" s="19" t="s">
        <v>107</v>
      </c>
      <c r="D8" s="19" t="s">
        <v>108</v>
      </c>
      <c r="E8" s="21" t="s">
        <v>55</v>
      </c>
      <c r="F8" s="18"/>
      <c r="G8" s="18"/>
      <c r="H8" s="19"/>
    </row>
    <row r="9" customFormat="false" ht="36" hidden="false" customHeight="true" outlineLevel="0" collapsed="false">
      <c r="A9" s="4" t="s">
        <v>109</v>
      </c>
      <c r="B9" s="4" t="s">
        <v>96</v>
      </c>
      <c r="C9" s="5" t="s">
        <v>110</v>
      </c>
      <c r="D9" s="5" t="s">
        <v>111</v>
      </c>
      <c r="E9" s="11" t="s">
        <v>55</v>
      </c>
      <c r="F9" s="4"/>
      <c r="G9" s="4"/>
      <c r="H9" s="5"/>
    </row>
    <row r="10" customFormat="false" ht="36" hidden="false" customHeight="true" outlineLevel="0" collapsed="false">
      <c r="A10" s="18" t="s">
        <v>112</v>
      </c>
      <c r="B10" s="18" t="s">
        <v>96</v>
      </c>
      <c r="C10" s="19" t="s">
        <v>113</v>
      </c>
      <c r="D10" s="19" t="s">
        <v>114</v>
      </c>
      <c r="E10" s="22" t="s">
        <v>64</v>
      </c>
      <c r="F10" s="18"/>
      <c r="G10" s="18"/>
      <c r="H10" s="19"/>
    </row>
    <row r="11" customFormat="false" ht="36" hidden="false" customHeight="true" outlineLevel="0" collapsed="false">
      <c r="A11" s="4" t="s">
        <v>115</v>
      </c>
      <c r="B11" s="4" t="s">
        <v>96</v>
      </c>
      <c r="C11" s="5" t="s">
        <v>116</v>
      </c>
      <c r="D11" s="5" t="s">
        <v>117</v>
      </c>
      <c r="E11" s="12" t="s">
        <v>64</v>
      </c>
      <c r="F11" s="4"/>
      <c r="G11" s="4"/>
      <c r="H11" s="5"/>
    </row>
    <row r="12" customFormat="false" ht="36" hidden="false" customHeight="true" outlineLevel="0" collapsed="false">
      <c r="A12" s="18" t="s">
        <v>118</v>
      </c>
      <c r="B12" s="18" t="s">
        <v>96</v>
      </c>
      <c r="C12" s="19" t="s">
        <v>119</v>
      </c>
      <c r="D12" s="19" t="s">
        <v>120</v>
      </c>
      <c r="E12" s="21" t="s">
        <v>55</v>
      </c>
      <c r="F12" s="18"/>
      <c r="G12" s="18"/>
      <c r="H12" s="19"/>
    </row>
    <row r="13" customFormat="false" ht="36" hidden="false" customHeight="true" outlineLevel="0" collapsed="false">
      <c r="A13" s="4" t="s">
        <v>121</v>
      </c>
      <c r="B13" s="4" t="s">
        <v>96</v>
      </c>
      <c r="C13" s="5" t="s">
        <v>122</v>
      </c>
      <c r="D13" s="5" t="s">
        <v>123</v>
      </c>
      <c r="E13" s="12" t="s">
        <v>64</v>
      </c>
      <c r="F13" s="4"/>
      <c r="G13" s="4"/>
      <c r="H13" s="5"/>
    </row>
    <row r="14" customFormat="false" ht="36" hidden="false" customHeight="true" outlineLevel="0" collapsed="false">
      <c r="A14" s="18" t="s">
        <v>124</v>
      </c>
      <c r="B14" s="18" t="s">
        <v>96</v>
      </c>
      <c r="C14" s="19" t="s">
        <v>125</v>
      </c>
      <c r="D14" s="19" t="s">
        <v>126</v>
      </c>
      <c r="E14" s="22" t="s">
        <v>64</v>
      </c>
      <c r="F14" s="18"/>
      <c r="G14" s="18"/>
      <c r="H14" s="19"/>
    </row>
    <row r="15" customFormat="false" ht="36" hidden="false" customHeight="true" outlineLevel="0" collapsed="false">
      <c r="A15" s="4" t="s">
        <v>127</v>
      </c>
      <c r="B15" s="4" t="s">
        <v>128</v>
      </c>
      <c r="C15" s="5" t="s">
        <v>129</v>
      </c>
      <c r="D15" s="5" t="s">
        <v>130</v>
      </c>
      <c r="E15" s="11" t="s">
        <v>55</v>
      </c>
      <c r="F15" s="4"/>
      <c r="G15" s="4"/>
      <c r="H15" s="5"/>
    </row>
    <row r="16" customFormat="false" ht="36" hidden="false" customHeight="true" outlineLevel="0" collapsed="false">
      <c r="A16" s="18" t="s">
        <v>131</v>
      </c>
      <c r="B16" s="18" t="s">
        <v>128</v>
      </c>
      <c r="C16" s="19" t="s">
        <v>132</v>
      </c>
      <c r="D16" s="19" t="s">
        <v>133</v>
      </c>
      <c r="E16" s="21" t="s">
        <v>55</v>
      </c>
      <c r="F16" s="18"/>
      <c r="G16" s="18"/>
      <c r="H16" s="19"/>
    </row>
    <row r="17" customFormat="false" ht="36" hidden="false" customHeight="true" outlineLevel="0" collapsed="false">
      <c r="A17" s="4" t="s">
        <v>134</v>
      </c>
      <c r="B17" s="4" t="s">
        <v>128</v>
      </c>
      <c r="C17" s="5" t="s">
        <v>135</v>
      </c>
      <c r="D17" s="5" t="s">
        <v>136</v>
      </c>
      <c r="E17" s="12" t="s">
        <v>64</v>
      </c>
      <c r="F17" s="4" t="s">
        <v>48</v>
      </c>
      <c r="G17" s="4" t="s">
        <v>59</v>
      </c>
      <c r="H17" s="23" t="s">
        <v>137</v>
      </c>
    </row>
    <row r="18" customFormat="false" ht="36" hidden="false" customHeight="true" outlineLevel="0" collapsed="false">
      <c r="A18" s="18" t="s">
        <v>138</v>
      </c>
      <c r="B18" s="18" t="s">
        <v>128</v>
      </c>
      <c r="C18" s="19" t="s">
        <v>139</v>
      </c>
      <c r="D18" s="19" t="s">
        <v>140</v>
      </c>
      <c r="E18" s="21" t="s">
        <v>55</v>
      </c>
      <c r="F18" s="18"/>
      <c r="G18" s="18"/>
      <c r="H18" s="19"/>
    </row>
    <row r="19" customFormat="false" ht="36" hidden="false" customHeight="true" outlineLevel="0" collapsed="false">
      <c r="A19" s="4" t="s">
        <v>141</v>
      </c>
      <c r="B19" s="4" t="s">
        <v>128</v>
      </c>
      <c r="C19" s="5" t="s">
        <v>142</v>
      </c>
      <c r="D19" s="5" t="s">
        <v>143</v>
      </c>
      <c r="E19" s="11" t="s">
        <v>55</v>
      </c>
      <c r="F19" s="4"/>
      <c r="G19" s="4"/>
      <c r="H19" s="5"/>
    </row>
    <row r="20" customFormat="false" ht="36" hidden="false" customHeight="true" outlineLevel="0" collapsed="false">
      <c r="A20" s="18" t="s">
        <v>144</v>
      </c>
      <c r="B20" s="18" t="s">
        <v>128</v>
      </c>
      <c r="C20" s="19" t="s">
        <v>145</v>
      </c>
      <c r="D20" s="19" t="s">
        <v>146</v>
      </c>
      <c r="E20" s="21" t="s">
        <v>55</v>
      </c>
      <c r="F20" s="18"/>
      <c r="G20" s="18"/>
      <c r="H20" s="19"/>
    </row>
    <row r="21" customFormat="false" ht="36" hidden="false" customHeight="true" outlineLevel="0" collapsed="false">
      <c r="A21" s="4" t="s">
        <v>147</v>
      </c>
      <c r="B21" s="4" t="s">
        <v>128</v>
      </c>
      <c r="C21" s="5" t="s">
        <v>148</v>
      </c>
      <c r="D21" s="5" t="s">
        <v>149</v>
      </c>
      <c r="E21" s="17" t="s">
        <v>99</v>
      </c>
      <c r="F21" s="4"/>
      <c r="G21" s="4"/>
      <c r="H21" s="5"/>
    </row>
    <row r="22" customFormat="false" ht="36" hidden="false" customHeight="true" outlineLevel="0" collapsed="false">
      <c r="A22" s="18" t="s">
        <v>150</v>
      </c>
      <c r="B22" s="18" t="s">
        <v>128</v>
      </c>
      <c r="C22" s="19" t="s">
        <v>151</v>
      </c>
      <c r="D22" s="19" t="s">
        <v>152</v>
      </c>
      <c r="E22" s="20" t="s">
        <v>99</v>
      </c>
      <c r="F22" s="18"/>
      <c r="G22" s="18"/>
      <c r="H22" s="19"/>
    </row>
    <row r="23" customFormat="false" ht="36" hidden="false" customHeight="true" outlineLevel="0" collapsed="false">
      <c r="A23" s="4" t="s">
        <v>153</v>
      </c>
      <c r="B23" s="4" t="s">
        <v>128</v>
      </c>
      <c r="C23" s="5" t="s">
        <v>154</v>
      </c>
      <c r="D23" s="5" t="s">
        <v>155</v>
      </c>
      <c r="E23" s="12" t="s">
        <v>64</v>
      </c>
      <c r="F23" s="4"/>
      <c r="G23" s="4"/>
      <c r="H23" s="5"/>
    </row>
    <row r="24" customFormat="false" ht="36" hidden="false" customHeight="true" outlineLevel="0" collapsed="false">
      <c r="A24" s="18" t="s">
        <v>156</v>
      </c>
      <c r="B24" s="18" t="s">
        <v>128</v>
      </c>
      <c r="C24" s="19" t="s">
        <v>157</v>
      </c>
      <c r="D24" s="19" t="s">
        <v>158</v>
      </c>
      <c r="E24" s="21" t="s">
        <v>55</v>
      </c>
      <c r="F24" s="18" t="s">
        <v>48</v>
      </c>
      <c r="G24" s="18" t="s">
        <v>68</v>
      </c>
      <c r="H24" s="24" t="s">
        <v>137</v>
      </c>
    </row>
    <row r="25" customFormat="false" ht="36" hidden="false" customHeight="true" outlineLevel="0" collapsed="false">
      <c r="A25" s="4" t="s">
        <v>159</v>
      </c>
      <c r="B25" s="4" t="s">
        <v>128</v>
      </c>
      <c r="C25" s="5" t="s">
        <v>160</v>
      </c>
      <c r="D25" s="5" t="s">
        <v>161</v>
      </c>
      <c r="E25" s="12" t="s">
        <v>64</v>
      </c>
      <c r="F25" s="4"/>
      <c r="G25" s="4"/>
      <c r="H25" s="5"/>
    </row>
    <row r="26" customFormat="false" ht="36" hidden="false" customHeight="true" outlineLevel="0" collapsed="false">
      <c r="A26" s="18" t="s">
        <v>162</v>
      </c>
      <c r="B26" s="18" t="s">
        <v>128</v>
      </c>
      <c r="C26" s="19" t="s">
        <v>163</v>
      </c>
      <c r="D26" s="19" t="s">
        <v>164</v>
      </c>
      <c r="E26" s="22" t="s">
        <v>64</v>
      </c>
      <c r="F26" s="18"/>
      <c r="G26" s="18"/>
      <c r="H26" s="19"/>
    </row>
    <row r="27" customFormat="false" ht="36" hidden="false" customHeight="true" outlineLevel="0" collapsed="false">
      <c r="A27" s="4" t="s">
        <v>165</v>
      </c>
      <c r="B27" s="4" t="s">
        <v>128</v>
      </c>
      <c r="C27" s="5" t="s">
        <v>166</v>
      </c>
      <c r="D27" s="5" t="s">
        <v>167</v>
      </c>
      <c r="E27" s="9" t="s">
        <v>45</v>
      </c>
      <c r="F27" s="4" t="s">
        <v>48</v>
      </c>
      <c r="G27" s="4" t="s">
        <v>40</v>
      </c>
      <c r="H27" s="23" t="s">
        <v>137</v>
      </c>
    </row>
    <row r="28" customFormat="false" ht="36" hidden="false" customHeight="true" outlineLevel="0" collapsed="false">
      <c r="A28" s="18" t="s">
        <v>168</v>
      </c>
      <c r="B28" s="18" t="s">
        <v>128</v>
      </c>
      <c r="C28" s="19" t="s">
        <v>169</v>
      </c>
      <c r="D28" s="19" t="s">
        <v>170</v>
      </c>
      <c r="E28" s="22" t="s">
        <v>64</v>
      </c>
      <c r="F28" s="18" t="s">
        <v>48</v>
      </c>
      <c r="G28" s="18" t="s">
        <v>75</v>
      </c>
      <c r="H28" s="24" t="s">
        <v>137</v>
      </c>
    </row>
    <row r="29" customFormat="false" ht="36" hidden="false" customHeight="true" outlineLevel="0" collapsed="false">
      <c r="A29" s="4" t="s">
        <v>171</v>
      </c>
      <c r="B29" s="4" t="s">
        <v>128</v>
      </c>
      <c r="C29" s="5" t="s">
        <v>172</v>
      </c>
      <c r="D29" s="5" t="s">
        <v>173</v>
      </c>
      <c r="E29" s="11" t="s">
        <v>55</v>
      </c>
      <c r="F29" s="4"/>
      <c r="G29" s="4"/>
      <c r="H29" s="5"/>
    </row>
    <row r="30" customFormat="false" ht="36" hidden="false" customHeight="true" outlineLevel="0" collapsed="false">
      <c r="A30" s="18" t="s">
        <v>174</v>
      </c>
      <c r="B30" s="18" t="s">
        <v>175</v>
      </c>
      <c r="C30" s="19" t="s">
        <v>176</v>
      </c>
      <c r="D30" s="19" t="s">
        <v>149</v>
      </c>
      <c r="E30" s="20" t="s">
        <v>99</v>
      </c>
      <c r="F30" s="18"/>
      <c r="G30" s="18"/>
      <c r="H30" s="19"/>
    </row>
    <row r="31" customFormat="false" ht="36" hidden="false" customHeight="true" outlineLevel="0" collapsed="false">
      <c r="A31" s="4" t="s">
        <v>177</v>
      </c>
      <c r="B31" s="4" t="s">
        <v>175</v>
      </c>
      <c r="C31" s="5" t="s">
        <v>178</v>
      </c>
      <c r="D31" s="5" t="s">
        <v>179</v>
      </c>
      <c r="E31" s="11" t="s">
        <v>55</v>
      </c>
      <c r="F31" s="4"/>
      <c r="G31" s="4"/>
      <c r="H31" s="5"/>
    </row>
    <row r="32" customFormat="false" ht="36" hidden="false" customHeight="true" outlineLevel="0" collapsed="false">
      <c r="A32" s="18" t="s">
        <v>180</v>
      </c>
      <c r="B32" s="18" t="s">
        <v>175</v>
      </c>
      <c r="C32" s="19" t="s">
        <v>181</v>
      </c>
      <c r="D32" s="19" t="s">
        <v>182</v>
      </c>
      <c r="E32" s="21" t="s">
        <v>55</v>
      </c>
      <c r="F32" s="18"/>
      <c r="G32" s="18"/>
      <c r="H32" s="19"/>
    </row>
    <row r="33" customFormat="false" ht="36" hidden="false" customHeight="true" outlineLevel="0" collapsed="false">
      <c r="A33" s="4" t="s">
        <v>183</v>
      </c>
      <c r="B33" s="4" t="s">
        <v>175</v>
      </c>
      <c r="C33" s="5" t="s">
        <v>184</v>
      </c>
      <c r="D33" s="5" t="s">
        <v>140</v>
      </c>
      <c r="E33" s="11" t="s">
        <v>55</v>
      </c>
      <c r="F33" s="4"/>
      <c r="G33" s="4"/>
      <c r="H33" s="5"/>
    </row>
    <row r="34" customFormat="false" ht="36" hidden="false" customHeight="true" outlineLevel="0" collapsed="false">
      <c r="A34" s="18" t="s">
        <v>185</v>
      </c>
      <c r="B34" s="18" t="s">
        <v>175</v>
      </c>
      <c r="C34" s="19" t="s">
        <v>186</v>
      </c>
      <c r="D34" s="19" t="s">
        <v>187</v>
      </c>
      <c r="E34" s="22" t="s">
        <v>64</v>
      </c>
      <c r="F34" s="18"/>
      <c r="G34" s="18"/>
      <c r="H34" s="19"/>
    </row>
    <row r="35" customFormat="false" ht="36" hidden="false" customHeight="true" outlineLevel="0" collapsed="false">
      <c r="A35" s="4" t="s">
        <v>188</v>
      </c>
      <c r="B35" s="4" t="s">
        <v>175</v>
      </c>
      <c r="C35" s="5" t="s">
        <v>189</v>
      </c>
      <c r="D35" s="5" t="s">
        <v>190</v>
      </c>
      <c r="E35" s="12" t="s">
        <v>64</v>
      </c>
      <c r="F35" s="4"/>
      <c r="G35" s="4"/>
      <c r="H35" s="5"/>
    </row>
    <row r="36" customFormat="false" ht="36" hidden="false" customHeight="true" outlineLevel="0" collapsed="false">
      <c r="A36" s="18" t="s">
        <v>191</v>
      </c>
      <c r="B36" s="18" t="s">
        <v>175</v>
      </c>
      <c r="C36" s="19" t="s">
        <v>192</v>
      </c>
      <c r="D36" s="19" t="s">
        <v>193</v>
      </c>
      <c r="E36" s="21" t="s">
        <v>55</v>
      </c>
      <c r="F36" s="18" t="s">
        <v>48</v>
      </c>
      <c r="G36" s="18" t="s">
        <v>50</v>
      </c>
      <c r="H36" s="24" t="s">
        <v>137</v>
      </c>
    </row>
    <row r="37" customFormat="false" ht="36" hidden="false" customHeight="true" outlineLevel="0" collapsed="false">
      <c r="A37" s="4" t="s">
        <v>194</v>
      </c>
      <c r="B37" s="4" t="s">
        <v>175</v>
      </c>
      <c r="C37" s="5" t="s">
        <v>195</v>
      </c>
      <c r="D37" s="5" t="s">
        <v>196</v>
      </c>
      <c r="E37" s="17" t="s">
        <v>99</v>
      </c>
      <c r="F37" s="4"/>
      <c r="G37" s="4"/>
      <c r="H37" s="5"/>
    </row>
    <row r="38" customFormat="false" ht="36" hidden="false" customHeight="true" outlineLevel="0" collapsed="false">
      <c r="A38" s="18" t="s">
        <v>197</v>
      </c>
      <c r="B38" s="18" t="s">
        <v>175</v>
      </c>
      <c r="C38" s="19" t="s">
        <v>198</v>
      </c>
      <c r="D38" s="19" t="s">
        <v>199</v>
      </c>
      <c r="E38" s="21" t="s">
        <v>55</v>
      </c>
      <c r="F38" s="18"/>
      <c r="G38" s="18"/>
      <c r="H38" s="19"/>
    </row>
    <row r="39" customFormat="false" ht="36" hidden="false" customHeight="true" outlineLevel="0" collapsed="false">
      <c r="A39" s="4" t="s">
        <v>200</v>
      </c>
      <c r="B39" s="4" t="s">
        <v>175</v>
      </c>
      <c r="C39" s="5" t="s">
        <v>201</v>
      </c>
      <c r="D39" s="5" t="s">
        <v>202</v>
      </c>
      <c r="E39" s="12" t="s">
        <v>64</v>
      </c>
      <c r="F39" s="4"/>
      <c r="G39" s="4"/>
      <c r="H39" s="5"/>
    </row>
    <row r="40" customFormat="false" ht="36" hidden="false" customHeight="true" outlineLevel="0" collapsed="false">
      <c r="A40" s="18" t="s">
        <v>203</v>
      </c>
      <c r="B40" s="18" t="s">
        <v>204</v>
      </c>
      <c r="C40" s="19" t="s">
        <v>205</v>
      </c>
      <c r="D40" s="19" t="s">
        <v>206</v>
      </c>
      <c r="E40" s="20" t="s">
        <v>99</v>
      </c>
      <c r="F40" s="18"/>
      <c r="G40" s="18"/>
      <c r="H40" s="19"/>
    </row>
    <row r="41" customFormat="false" ht="36" hidden="false" customHeight="true" outlineLevel="0" collapsed="false">
      <c r="A41" s="4" t="s">
        <v>207</v>
      </c>
      <c r="B41" s="4" t="s">
        <v>204</v>
      </c>
      <c r="C41" s="5" t="s">
        <v>208</v>
      </c>
      <c r="D41" s="5" t="s">
        <v>209</v>
      </c>
      <c r="E41" s="17" t="s">
        <v>99</v>
      </c>
      <c r="F41" s="4"/>
      <c r="G41" s="4"/>
      <c r="H41" s="5"/>
    </row>
    <row r="42" customFormat="false" ht="36" hidden="false" customHeight="true" outlineLevel="0" collapsed="false">
      <c r="A42" s="18" t="s">
        <v>210</v>
      </c>
      <c r="B42" s="18" t="s">
        <v>204</v>
      </c>
      <c r="C42" s="19" t="s">
        <v>211</v>
      </c>
      <c r="D42" s="19" t="s">
        <v>212</v>
      </c>
      <c r="E42" s="20" t="s">
        <v>99</v>
      </c>
      <c r="F42" s="18"/>
      <c r="G42" s="18"/>
      <c r="H42" s="19"/>
    </row>
    <row r="43" customFormat="false" ht="36" hidden="false" customHeight="true" outlineLevel="0" collapsed="false">
      <c r="A43" s="4" t="s">
        <v>213</v>
      </c>
      <c r="B43" s="4" t="s">
        <v>204</v>
      </c>
      <c r="C43" s="5" t="s">
        <v>214</v>
      </c>
      <c r="D43" s="5" t="s">
        <v>215</v>
      </c>
      <c r="E43" s="17" t="s">
        <v>99</v>
      </c>
      <c r="F43" s="4"/>
      <c r="G43" s="4"/>
      <c r="H43" s="5"/>
    </row>
    <row r="44" customFormat="false" ht="36" hidden="false" customHeight="true" outlineLevel="0" collapsed="false">
      <c r="A44" s="18" t="s">
        <v>216</v>
      </c>
      <c r="B44" s="18" t="s">
        <v>204</v>
      </c>
      <c r="C44" s="19" t="s">
        <v>217</v>
      </c>
      <c r="D44" s="19" t="s">
        <v>218</v>
      </c>
      <c r="E44" s="22" t="s">
        <v>64</v>
      </c>
      <c r="F44" s="18"/>
      <c r="G44" s="18"/>
      <c r="H44" s="19"/>
    </row>
    <row r="45" customFormat="false" ht="36" hidden="false" customHeight="true" outlineLevel="0" collapsed="false">
      <c r="A45" s="4" t="s">
        <v>219</v>
      </c>
      <c r="B45" s="4" t="s">
        <v>204</v>
      </c>
      <c r="C45" s="5" t="s">
        <v>220</v>
      </c>
      <c r="D45" s="5" t="s">
        <v>221</v>
      </c>
      <c r="E45" s="17" t="s">
        <v>99</v>
      </c>
      <c r="F45" s="4"/>
      <c r="G45" s="4"/>
      <c r="H45" s="5"/>
    </row>
    <row r="46" customFormat="false" ht="36" hidden="false" customHeight="true" outlineLevel="0" collapsed="false">
      <c r="A46" s="18" t="s">
        <v>222</v>
      </c>
      <c r="B46" s="18" t="s">
        <v>204</v>
      </c>
      <c r="C46" s="19" t="s">
        <v>223</v>
      </c>
      <c r="D46" s="19" t="s">
        <v>224</v>
      </c>
      <c r="E46" s="21" t="s">
        <v>55</v>
      </c>
      <c r="F46" s="18"/>
      <c r="G46" s="18"/>
      <c r="H46" s="19"/>
    </row>
    <row r="47" customFormat="false" ht="36" hidden="false" customHeight="true" outlineLevel="0" collapsed="false">
      <c r="A47" s="4" t="s">
        <v>225</v>
      </c>
      <c r="B47" s="4" t="s">
        <v>204</v>
      </c>
      <c r="C47" s="5" t="s">
        <v>226</v>
      </c>
      <c r="D47" s="5" t="s">
        <v>227</v>
      </c>
      <c r="E47" s="17" t="s">
        <v>99</v>
      </c>
      <c r="F47" s="4"/>
      <c r="G47" s="4"/>
      <c r="H47" s="5"/>
    </row>
    <row r="48" customFormat="false" ht="36" hidden="false" customHeight="true" outlineLevel="0" collapsed="false">
      <c r="A48" s="18" t="s">
        <v>228</v>
      </c>
      <c r="B48" s="18" t="s">
        <v>204</v>
      </c>
      <c r="C48" s="19" t="s">
        <v>229</v>
      </c>
      <c r="D48" s="19" t="s">
        <v>230</v>
      </c>
      <c r="E48" s="21" t="s">
        <v>55</v>
      </c>
      <c r="F48" s="18"/>
      <c r="G48" s="18"/>
      <c r="H48" s="19"/>
    </row>
    <row r="49" customFormat="false" ht="36" hidden="false" customHeight="true" outlineLevel="0" collapsed="false">
      <c r="A49" s="4" t="s">
        <v>231</v>
      </c>
      <c r="B49" s="4" t="s">
        <v>204</v>
      </c>
      <c r="C49" s="5" t="s">
        <v>232</v>
      </c>
      <c r="D49" s="5" t="s">
        <v>233</v>
      </c>
      <c r="E49" s="11" t="s">
        <v>55</v>
      </c>
      <c r="F49" s="4"/>
      <c r="G49" s="4"/>
      <c r="H49" s="5"/>
    </row>
    <row r="50" customFormat="false" ht="36" hidden="false" customHeight="true" outlineLevel="0" collapsed="false">
      <c r="A50" s="18" t="s">
        <v>234</v>
      </c>
      <c r="B50" s="18" t="s">
        <v>204</v>
      </c>
      <c r="C50" s="19" t="s">
        <v>235</v>
      </c>
      <c r="D50" s="19" t="s">
        <v>236</v>
      </c>
      <c r="E50" s="21" t="s">
        <v>55</v>
      </c>
      <c r="F50" s="18"/>
      <c r="G50" s="18"/>
      <c r="H50" s="19"/>
    </row>
    <row r="51" customFormat="false" ht="36" hidden="false" customHeight="true" outlineLevel="0" collapsed="false">
      <c r="A51" s="4" t="s">
        <v>237</v>
      </c>
      <c r="B51" s="4" t="s">
        <v>204</v>
      </c>
      <c r="C51" s="5" t="s">
        <v>238</v>
      </c>
      <c r="D51" s="5" t="s">
        <v>239</v>
      </c>
      <c r="E51" s="11" t="s">
        <v>55</v>
      </c>
      <c r="F51" s="4"/>
      <c r="G51" s="4"/>
      <c r="H51" s="5"/>
    </row>
    <row r="52" customFormat="false" ht="36" hidden="false" customHeight="true" outlineLevel="0" collapsed="false">
      <c r="A52" s="18" t="s">
        <v>240</v>
      </c>
      <c r="B52" s="18" t="s">
        <v>204</v>
      </c>
      <c r="C52" s="19" t="s">
        <v>241</v>
      </c>
      <c r="D52" s="19" t="s">
        <v>242</v>
      </c>
      <c r="E52" s="22" t="s">
        <v>64</v>
      </c>
      <c r="F52" s="18"/>
      <c r="G52" s="18"/>
      <c r="H52" s="19"/>
    </row>
    <row r="53" customFormat="false" ht="36" hidden="false" customHeight="true" outlineLevel="0" collapsed="false">
      <c r="A53" s="4" t="s">
        <v>243</v>
      </c>
      <c r="B53" s="4" t="s">
        <v>204</v>
      </c>
      <c r="C53" s="5" t="s">
        <v>244</v>
      </c>
      <c r="D53" s="5" t="s">
        <v>245</v>
      </c>
      <c r="E53" s="12" t="s">
        <v>64</v>
      </c>
      <c r="F53" s="4"/>
      <c r="G53" s="4"/>
      <c r="H53" s="5"/>
    </row>
    <row r="54" customFormat="false" ht="36" hidden="false" customHeight="true" outlineLevel="0" collapsed="false">
      <c r="A54" s="18" t="s">
        <v>246</v>
      </c>
      <c r="B54" s="18" t="s">
        <v>204</v>
      </c>
      <c r="C54" s="19" t="s">
        <v>247</v>
      </c>
      <c r="D54" s="19" t="s">
        <v>248</v>
      </c>
      <c r="E54" s="22" t="s">
        <v>64</v>
      </c>
      <c r="F54" s="18"/>
      <c r="G54" s="18"/>
      <c r="H54" s="19"/>
    </row>
    <row r="55" customFormat="false" ht="36" hidden="false" customHeight="true" outlineLevel="0" collapsed="false">
      <c r="A55" s="4" t="s">
        <v>249</v>
      </c>
      <c r="B55" s="4" t="s">
        <v>204</v>
      </c>
      <c r="C55" s="5" t="s">
        <v>250</v>
      </c>
      <c r="D55" s="5" t="s">
        <v>251</v>
      </c>
      <c r="E55" s="12" t="s">
        <v>64</v>
      </c>
      <c r="F55" s="4"/>
      <c r="G55" s="4"/>
      <c r="H55" s="5"/>
    </row>
    <row r="56" customFormat="false" ht="36" hidden="false" customHeight="true" outlineLevel="0" collapsed="false">
      <c r="A56" s="18" t="s">
        <v>252</v>
      </c>
      <c r="B56" s="18" t="s">
        <v>253</v>
      </c>
      <c r="C56" s="19" t="s">
        <v>254</v>
      </c>
      <c r="D56" s="19" t="s">
        <v>255</v>
      </c>
      <c r="E56" s="20" t="s">
        <v>99</v>
      </c>
      <c r="F56" s="18"/>
      <c r="G56" s="18"/>
      <c r="H56" s="19"/>
    </row>
    <row r="57" customFormat="false" ht="36" hidden="false" customHeight="true" outlineLevel="0" collapsed="false">
      <c r="A57" s="4" t="s">
        <v>256</v>
      </c>
      <c r="B57" s="4" t="s">
        <v>253</v>
      </c>
      <c r="C57" s="5" t="s">
        <v>257</v>
      </c>
      <c r="D57" s="5" t="s">
        <v>258</v>
      </c>
      <c r="E57" s="11" t="s">
        <v>55</v>
      </c>
      <c r="F57" s="4"/>
      <c r="G57" s="4"/>
      <c r="H57" s="5"/>
    </row>
    <row r="58" customFormat="false" ht="36" hidden="false" customHeight="true" outlineLevel="0" collapsed="false">
      <c r="A58" s="18" t="s">
        <v>259</v>
      </c>
      <c r="B58" s="18" t="s">
        <v>253</v>
      </c>
      <c r="C58" s="19" t="s">
        <v>260</v>
      </c>
      <c r="D58" s="19" t="s">
        <v>261</v>
      </c>
      <c r="E58" s="21" t="s">
        <v>55</v>
      </c>
      <c r="F58" s="18"/>
      <c r="G58" s="18"/>
      <c r="H58" s="19"/>
    </row>
    <row r="59" customFormat="false" ht="36" hidden="false" customHeight="true" outlineLevel="0" collapsed="false">
      <c r="A59" s="4" t="s">
        <v>262</v>
      </c>
      <c r="B59" s="4" t="s">
        <v>253</v>
      </c>
      <c r="C59" s="5" t="s">
        <v>263</v>
      </c>
      <c r="D59" s="5" t="s">
        <v>264</v>
      </c>
      <c r="E59" s="12" t="s">
        <v>64</v>
      </c>
      <c r="F59" s="4"/>
      <c r="G59" s="4"/>
      <c r="H59" s="5"/>
    </row>
    <row r="60" customFormat="false" ht="36" hidden="false" customHeight="true" outlineLevel="0" collapsed="false">
      <c r="A60" s="18" t="s">
        <v>265</v>
      </c>
      <c r="B60" s="18" t="s">
        <v>266</v>
      </c>
      <c r="C60" s="19" t="s">
        <v>267</v>
      </c>
      <c r="D60" s="19" t="s">
        <v>268</v>
      </c>
      <c r="E60" s="20" t="s">
        <v>99</v>
      </c>
      <c r="F60" s="18"/>
      <c r="G60" s="18"/>
      <c r="H60" s="19"/>
    </row>
    <row r="61" customFormat="false" ht="36" hidden="false" customHeight="true" outlineLevel="0" collapsed="false">
      <c r="A61" s="4" t="s">
        <v>269</v>
      </c>
      <c r="B61" s="4" t="s">
        <v>266</v>
      </c>
      <c r="C61" s="5" t="s">
        <v>270</v>
      </c>
      <c r="D61" s="5" t="s">
        <v>271</v>
      </c>
      <c r="E61" s="17" t="s">
        <v>99</v>
      </c>
      <c r="F61" s="4"/>
      <c r="G61" s="4"/>
      <c r="H61" s="5"/>
    </row>
    <row r="62" customFormat="false" ht="36" hidden="false" customHeight="true" outlineLevel="0" collapsed="false">
      <c r="A62" s="18" t="s">
        <v>272</v>
      </c>
      <c r="B62" s="18" t="s">
        <v>266</v>
      </c>
      <c r="C62" s="19" t="s">
        <v>273</v>
      </c>
      <c r="D62" s="19" t="s">
        <v>274</v>
      </c>
      <c r="E62" s="21" t="s">
        <v>55</v>
      </c>
      <c r="F62" s="18"/>
      <c r="G62" s="18"/>
      <c r="H62" s="19"/>
    </row>
    <row r="63" customFormat="false" ht="36" hidden="false" customHeight="true" outlineLevel="0" collapsed="false">
      <c r="A63" s="4" t="s">
        <v>275</v>
      </c>
      <c r="B63" s="4" t="s">
        <v>266</v>
      </c>
      <c r="C63" s="5" t="s">
        <v>276</v>
      </c>
      <c r="D63" s="5" t="s">
        <v>277</v>
      </c>
      <c r="E63" s="11" t="s">
        <v>55</v>
      </c>
      <c r="F63" s="4"/>
      <c r="G63" s="4"/>
      <c r="H63" s="5"/>
    </row>
    <row r="64" customFormat="false" ht="36" hidden="false" customHeight="true" outlineLevel="0" collapsed="false">
      <c r="A64" s="18" t="s">
        <v>278</v>
      </c>
      <c r="B64" s="18" t="s">
        <v>266</v>
      </c>
      <c r="C64" s="19" t="s">
        <v>279</v>
      </c>
      <c r="D64" s="19" t="s">
        <v>280</v>
      </c>
      <c r="E64" s="22" t="s">
        <v>64</v>
      </c>
      <c r="F64" s="18"/>
      <c r="G64" s="18"/>
      <c r="H64" s="19"/>
    </row>
    <row r="67" customFormat="false" ht="15" hidden="false" customHeight="false" outlineLevel="0" collapsed="false">
      <c r="A67" s="25" t="s">
        <v>281</v>
      </c>
      <c r="B67" s="26" t="s">
        <v>282</v>
      </c>
      <c r="C67" s="27" t="s">
        <v>283</v>
      </c>
      <c r="D67" s="0" t="n">
        <f aca="false">COUNTIF(F5:F64,"PASS")</f>
        <v>0</v>
      </c>
      <c r="E67" s="28" t="s">
        <v>284</v>
      </c>
      <c r="F67" s="0" t="n">
        <f aca="false">COUNTIF(F5:F64,"FAIL")</f>
        <v>0</v>
      </c>
      <c r="G67" s="29" t="s">
        <v>285</v>
      </c>
      <c r="H67" s="0" t="n">
        <f aca="false">COUNTIF(F5:F64,"BLOCKED")</f>
        <v>0</v>
      </c>
    </row>
  </sheetData>
  <autoFilter ref="A4:H64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2026-05-01T00:07:20Z</dcterms:created>
  <dc:creator>openpyxl</dc:creator>
  <dc:description/>
  <dc:language>en-US</dc:language>
  <cp:lastModifiedBy/>
  <dcterms:modified xsi:type="dcterms:W3CDTF">2026-05-01T00:07:20Z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